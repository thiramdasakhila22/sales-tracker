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<sst xmlns="http://schemas.openxmlformats.org/spreadsheetml/2006/main" count="41" uniqueCount="26">
  <si>
    <t>Sales Summary</t>
  </si>
  <si>
    <t>Date</t>
  </si>
  <si>
    <t>Metric</t>
  </si>
  <si>
    <t>Product</t>
  </si>
  <si>
    <t>Category</t>
  </si>
  <si>
    <t>Total Sales</t>
  </si>
  <si>
    <t>Quantity</t>
  </si>
  <si>
    <t>Unit Price</t>
  </si>
  <si>
    <t>Overall Sales</t>
  </si>
  <si>
    <t>Laptop</t>
  </si>
  <si>
    <t>Electronics</t>
  </si>
  <si>
    <t>Mouse</t>
  </si>
  <si>
    <t>Accessories</t>
  </si>
  <si>
    <t>Daily Sales Summary</t>
  </si>
  <si>
    <t>Weekly Sales Summary</t>
  </si>
  <si>
    <t>Daily Sales</t>
  </si>
  <si>
    <t>Week Start</t>
  </si>
  <si>
    <t>Week End</t>
  </si>
  <si>
    <t>Weekly Sales</t>
  </si>
  <si>
    <t>Keyboard</t>
  </si>
  <si>
    <t>Monitor</t>
  </si>
  <si>
    <t>Headphones</t>
  </si>
  <si>
    <t>14/08/2026</t>
  </si>
  <si>
    <t>Monthly Sales Summary</t>
  </si>
  <si>
    <t>Month</t>
  </si>
  <si>
    <t>Monthly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</si>
</sst>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5</v>
      </c>
    </row>
    <row r="2">
      <c r="A2" s="3">
        <v>46030.0</v>
      </c>
      <c r="B2" s="2" t="s">
        <v>9</v>
      </c>
      <c r="C2" s="2" t="s">
        <v>10</v>
      </c>
      <c r="D2" s="2">
        <v>2.0</v>
      </c>
      <c r="E2" s="4">
        <v>50000.0</v>
      </c>
      <c r="F2" s="4">
        <v>100000.0</v>
      </c>
    </row>
    <row r="3">
      <c r="A3" s="3">
        <v>46030.0</v>
      </c>
      <c r="B3" s="2" t="s">
        <v>11</v>
      </c>
      <c r="C3" s="2" t="s">
        <v>12</v>
      </c>
      <c r="D3" s="2">
        <v>5.0</v>
      </c>
      <c r="E3" s="4">
        <v>800.0</v>
      </c>
      <c r="F3" s="5">
        <f t="shared" ref="F3:F11" si="1">D3*E3</f>
        <v>4000</v>
      </c>
    </row>
    <row r="4">
      <c r="A4" s="3">
        <v>46061.0</v>
      </c>
      <c r="B4" s="2" t="s">
        <v>19</v>
      </c>
      <c r="C4" s="2" t="s">
        <v>12</v>
      </c>
      <c r="D4" s="2">
        <v>3.0</v>
      </c>
      <c r="E4" s="4">
        <v>1500.0</v>
      </c>
      <c r="F4" s="5">
        <f t="shared" si="1"/>
        <v>4500</v>
      </c>
    </row>
    <row r="5">
      <c r="A5" s="3">
        <v>46089.0</v>
      </c>
      <c r="B5" s="2" t="s">
        <v>20</v>
      </c>
      <c r="C5" s="2" t="s">
        <v>10</v>
      </c>
      <c r="D5" s="2">
        <v>2.0</v>
      </c>
      <c r="E5" s="4">
        <v>12000.0</v>
      </c>
      <c r="F5" s="5">
        <f t="shared" si="1"/>
        <v>24000</v>
      </c>
    </row>
    <row r="6">
      <c r="A6" s="3">
        <v>46120.0</v>
      </c>
      <c r="B6" s="2" t="s">
        <v>21</v>
      </c>
      <c r="C6" s="2" t="s">
        <v>12</v>
      </c>
      <c r="D6" s="2">
        <v>4.0</v>
      </c>
      <c r="E6" s="4">
        <v>2500.0</v>
      </c>
      <c r="F6" s="5">
        <f t="shared" si="1"/>
        <v>10000</v>
      </c>
    </row>
    <row r="7">
      <c r="A7" s="3">
        <v>46150.0</v>
      </c>
      <c r="B7" s="2" t="s">
        <v>9</v>
      </c>
      <c r="C7" s="2" t="s">
        <v>10</v>
      </c>
      <c r="D7" s="2">
        <v>1.0</v>
      </c>
      <c r="E7" s="4">
        <v>50000.0</v>
      </c>
      <c r="F7" s="5">
        <f t="shared" si="1"/>
        <v>50000</v>
      </c>
    </row>
    <row r="8">
      <c r="A8" s="3">
        <v>46181.0</v>
      </c>
      <c r="B8" s="2" t="s">
        <v>11</v>
      </c>
      <c r="C8" s="2" t="s">
        <v>12</v>
      </c>
      <c r="D8" s="2">
        <v>10.0</v>
      </c>
      <c r="E8" s="4">
        <v>800.0</v>
      </c>
      <c r="F8" s="5">
        <f t="shared" si="1"/>
        <v>8000</v>
      </c>
    </row>
    <row r="9">
      <c r="A9" s="3">
        <v>46211.0</v>
      </c>
      <c r="B9" s="2" t="s">
        <v>19</v>
      </c>
      <c r="C9" s="2" t="s">
        <v>12</v>
      </c>
      <c r="D9" s="2">
        <v>5.0</v>
      </c>
      <c r="E9" s="4">
        <v>1500.0</v>
      </c>
      <c r="F9" s="5">
        <f t="shared" si="1"/>
        <v>7500</v>
      </c>
    </row>
    <row r="10">
      <c r="A10" s="3">
        <v>46242.0</v>
      </c>
      <c r="B10" s="2" t="s">
        <v>20</v>
      </c>
      <c r="C10" s="2" t="s">
        <v>10</v>
      </c>
      <c r="D10" s="2">
        <v>3.0</v>
      </c>
      <c r="E10" s="4">
        <v>12000.0</v>
      </c>
      <c r="F10" s="5">
        <f t="shared" si="1"/>
        <v>36000</v>
      </c>
    </row>
    <row r="11">
      <c r="A11" s="3">
        <v>46273.0</v>
      </c>
      <c r="B11" s="2" t="s">
        <v>21</v>
      </c>
      <c r="C11" s="2" t="s">
        <v>12</v>
      </c>
      <c r="D11" s="2">
        <v>2.0</v>
      </c>
      <c r="E11" s="4">
        <v>2500.0</v>
      </c>
      <c r="F11" s="5">
        <f t="shared" si="1"/>
        <v>5000</v>
      </c>
    </row>
    <row r="12">
      <c r="A12" s="3"/>
      <c r="B12" s="6"/>
      <c r="C12" s="6"/>
      <c r="D12" s="7"/>
      <c r="E12" s="8"/>
      <c r="F12" s="5"/>
    </row>
    <row r="13">
      <c r="B13" s="6"/>
      <c r="C13" s="6"/>
      <c r="E13" s="5"/>
      <c r="F13" s="5"/>
    </row>
    <row r="14">
      <c r="B14" s="6"/>
      <c r="C14" s="6"/>
      <c r="E14" s="5"/>
      <c r="F14" s="5"/>
    </row>
    <row r="15">
      <c r="B15" s="6"/>
      <c r="C15" s="6"/>
      <c r="E15" s="5"/>
      <c r="F15" s="5"/>
    </row>
    <row r="16">
      <c r="B16" s="6"/>
      <c r="C16" s="6"/>
      <c r="E16" s="5"/>
      <c r="F16" s="5"/>
    </row>
    <row r="17">
      <c r="B17" s="6"/>
      <c r="C17" s="6"/>
      <c r="E17" s="5"/>
      <c r="F17" s="5"/>
    </row>
    <row r="18">
      <c r="B18" s="6"/>
      <c r="C18" s="6"/>
      <c r="E18" s="5"/>
      <c r="F18" s="5"/>
    </row>
    <row r="19">
      <c r="B19" s="6"/>
      <c r="C19" s="6"/>
      <c r="E19" s="5"/>
      <c r="F19" s="5"/>
    </row>
    <row r="20">
      <c r="B20" s="6"/>
      <c r="C20" s="6"/>
      <c r="E20" s="5"/>
      <c r="F20" s="5"/>
    </row>
    <row r="21">
      <c r="B21" s="6"/>
      <c r="C21" s="6"/>
      <c r="E21" s="5"/>
      <c r="F21" s="5"/>
    </row>
    <row r="22">
      <c r="B22" s="6"/>
      <c r="C22" s="6"/>
      <c r="E22" s="5"/>
      <c r="F22" s="5"/>
    </row>
    <row r="23">
      <c r="B23" s="6"/>
      <c r="C23" s="6"/>
      <c r="E23" s="5"/>
      <c r="F23" s="5"/>
    </row>
    <row r="24">
      <c r="B24" s="6"/>
      <c r="C24" s="6"/>
      <c r="E24" s="5"/>
      <c r="F24" s="5"/>
    </row>
    <row r="25">
      <c r="B25" s="6"/>
      <c r="C25" s="6"/>
      <c r="E25" s="5"/>
      <c r="F25" s="5"/>
    </row>
    <row r="26">
      <c r="B26" s="6"/>
      <c r="C26" s="6"/>
      <c r="E26" s="5"/>
      <c r="F26" s="5"/>
    </row>
    <row r="27">
      <c r="B27" s="6"/>
      <c r="C27" s="6"/>
      <c r="E27" s="5"/>
      <c r="F27" s="5"/>
    </row>
    <row r="28">
      <c r="B28" s="6"/>
      <c r="C28" s="6"/>
      <c r="E28" s="5"/>
      <c r="F28" s="5"/>
    </row>
    <row r="29">
      <c r="B29" s="6"/>
      <c r="C29" s="6"/>
      <c r="E29" s="5"/>
      <c r="F29" s="5"/>
    </row>
    <row r="30">
      <c r="B30" s="6"/>
      <c r="C30" s="6"/>
      <c r="E30" s="5"/>
      <c r="F30" s="5"/>
    </row>
    <row r="31">
      <c r="B31" s="6"/>
      <c r="C31" s="6"/>
      <c r="E31" s="5"/>
      <c r="F31" s="5"/>
    </row>
    <row r="32">
      <c r="B32" s="6"/>
      <c r="C32" s="6"/>
      <c r="E32" s="5"/>
      <c r="F32" s="5"/>
    </row>
    <row r="33">
      <c r="B33" s="6"/>
      <c r="C33" s="6"/>
      <c r="E33" s="5"/>
      <c r="F33" s="5"/>
    </row>
    <row r="34">
      <c r="B34" s="6"/>
      <c r="C34" s="6"/>
      <c r="E34" s="5"/>
      <c r="F34" s="5"/>
    </row>
    <row r="35">
      <c r="B35" s="6"/>
      <c r="C35" s="6"/>
      <c r="E35" s="5"/>
      <c r="F35" s="5"/>
    </row>
    <row r="36">
      <c r="B36" s="6"/>
      <c r="C36" s="6"/>
      <c r="E36" s="5"/>
      <c r="F36" s="5"/>
    </row>
    <row r="37">
      <c r="B37" s="6"/>
      <c r="C37" s="6"/>
      <c r="E37" s="5"/>
      <c r="F37" s="5"/>
    </row>
    <row r="38">
      <c r="B38" s="6"/>
      <c r="C38" s="6"/>
      <c r="E38" s="5"/>
      <c r="F38" s="5"/>
    </row>
    <row r="39">
      <c r="B39" s="6"/>
      <c r="C39" s="6"/>
      <c r="E39" s="5"/>
      <c r="F39" s="5"/>
    </row>
    <row r="40">
      <c r="B40" s="6"/>
      <c r="C40" s="6"/>
      <c r="E40" s="5"/>
      <c r="F40" s="5"/>
    </row>
    <row r="41">
      <c r="B41" s="6"/>
      <c r="C41" s="6"/>
      <c r="E41" s="5"/>
      <c r="F41" s="5"/>
    </row>
    <row r="42">
      <c r="B42" s="6"/>
      <c r="C42" s="6"/>
      <c r="E42" s="5"/>
      <c r="F42" s="5"/>
    </row>
    <row r="43">
      <c r="B43" s="6"/>
      <c r="C43" s="6"/>
      <c r="E43" s="5"/>
      <c r="F43" s="5"/>
    </row>
    <row r="44">
      <c r="B44" s="6"/>
      <c r="C44" s="6"/>
      <c r="E44" s="5"/>
      <c r="F44" s="5"/>
    </row>
    <row r="45">
      <c r="B45" s="6"/>
      <c r="C45" s="6"/>
      <c r="E45" s="5"/>
      <c r="F45" s="5"/>
    </row>
    <row r="46">
      <c r="B46" s="6"/>
      <c r="C46" s="6"/>
      <c r="E46" s="5"/>
      <c r="F46" s="5"/>
    </row>
    <row r="47">
      <c r="B47" s="6"/>
      <c r="C47" s="6"/>
      <c r="E47" s="5"/>
      <c r="F47" s="5"/>
    </row>
    <row r="48">
      <c r="B48" s="6"/>
      <c r="C48" s="6"/>
      <c r="E48" s="5"/>
      <c r="F48" s="5"/>
    </row>
    <row r="49">
      <c r="B49" s="6"/>
      <c r="C49" s="6"/>
      <c r="E49" s="5"/>
      <c r="F49" s="5"/>
    </row>
    <row r="50">
      <c r="B50" s="6"/>
      <c r="C50" s="6"/>
      <c r="E50" s="5"/>
      <c r="F50" s="5"/>
    </row>
    <row r="51">
      <c r="B51" s="6"/>
      <c r="C51" s="6"/>
      <c r="E51" s="5"/>
      <c r="F51" s="5"/>
    </row>
    <row r="52">
      <c r="B52" s="6"/>
      <c r="C52" s="6"/>
      <c r="E52" s="5"/>
      <c r="F52" s="5"/>
    </row>
    <row r="53">
      <c r="B53" s="6"/>
      <c r="C53" s="6"/>
      <c r="E53" s="5"/>
      <c r="F53" s="5"/>
    </row>
    <row r="54">
      <c r="B54" s="6"/>
      <c r="C54" s="6"/>
      <c r="E54" s="5"/>
      <c r="F54" s="5"/>
    </row>
    <row r="55">
      <c r="B55" s="6"/>
      <c r="C55" s="6"/>
      <c r="E55" s="5"/>
      <c r="F55" s="5"/>
    </row>
    <row r="56">
      <c r="B56" s="6"/>
      <c r="C56" s="6"/>
      <c r="E56" s="5"/>
      <c r="F56" s="5"/>
    </row>
    <row r="57">
      <c r="B57" s="6"/>
      <c r="C57" s="6"/>
      <c r="E57" s="5"/>
      <c r="F57" s="5"/>
    </row>
    <row r="58">
      <c r="B58" s="6"/>
      <c r="C58" s="6"/>
      <c r="E58" s="5"/>
      <c r="F58" s="5"/>
    </row>
    <row r="59">
      <c r="B59" s="6"/>
      <c r="C59" s="6"/>
      <c r="E59" s="5"/>
      <c r="F59" s="5"/>
    </row>
    <row r="60">
      <c r="B60" s="6"/>
      <c r="C60" s="6"/>
      <c r="E60" s="5"/>
      <c r="F60" s="5"/>
    </row>
    <row r="61">
      <c r="B61" s="6"/>
      <c r="C61" s="6"/>
      <c r="E61" s="5"/>
      <c r="F61" s="5"/>
    </row>
    <row r="62">
      <c r="B62" s="6"/>
      <c r="C62" s="6"/>
      <c r="E62" s="5"/>
      <c r="F62" s="5"/>
    </row>
    <row r="63">
      <c r="B63" s="6"/>
      <c r="C63" s="6"/>
      <c r="E63" s="5"/>
      <c r="F63" s="5"/>
    </row>
    <row r="64">
      <c r="B64" s="6"/>
      <c r="C64" s="6"/>
      <c r="E64" s="5"/>
      <c r="F64" s="5"/>
    </row>
    <row r="65">
      <c r="B65" s="6"/>
      <c r="C65" s="6"/>
      <c r="E65" s="5"/>
      <c r="F65" s="5"/>
    </row>
    <row r="66">
      <c r="B66" s="6"/>
      <c r="C66" s="6"/>
      <c r="E66" s="5"/>
      <c r="F66" s="5"/>
    </row>
    <row r="67">
      <c r="B67" s="6"/>
      <c r="C67" s="6"/>
      <c r="E67" s="5"/>
      <c r="F67" s="5"/>
    </row>
    <row r="68">
      <c r="B68" s="6"/>
      <c r="C68" s="6"/>
      <c r="E68" s="5"/>
      <c r="F68" s="5"/>
    </row>
    <row r="69">
      <c r="B69" s="6"/>
      <c r="C69" s="6"/>
      <c r="E69" s="5"/>
      <c r="F69" s="5"/>
    </row>
    <row r="70">
      <c r="B70" s="6"/>
      <c r="C70" s="6"/>
      <c r="E70" s="5"/>
      <c r="F70" s="5"/>
    </row>
    <row r="71">
      <c r="B71" s="6"/>
      <c r="C71" s="6"/>
      <c r="E71" s="5"/>
      <c r="F71" s="5"/>
    </row>
    <row r="72">
      <c r="B72" s="6"/>
      <c r="C72" s="6"/>
      <c r="E72" s="5"/>
      <c r="F72" s="5"/>
    </row>
    <row r="73">
      <c r="B73" s="6"/>
      <c r="C73" s="6"/>
      <c r="E73" s="5"/>
      <c r="F73" s="5"/>
    </row>
    <row r="74">
      <c r="B74" s="6"/>
      <c r="C74" s="6"/>
      <c r="E74" s="5"/>
      <c r="F74" s="5"/>
    </row>
    <row r="75">
      <c r="B75" s="6"/>
      <c r="C75" s="6"/>
      <c r="E75" s="5"/>
      <c r="F75" s="5"/>
    </row>
    <row r="76">
      <c r="B76" s="6"/>
      <c r="C76" s="6"/>
      <c r="E76" s="5"/>
      <c r="F76" s="5"/>
    </row>
    <row r="77">
      <c r="B77" s="6"/>
      <c r="C77" s="6"/>
      <c r="E77" s="5"/>
      <c r="F77" s="5"/>
    </row>
    <row r="78">
      <c r="B78" s="6"/>
      <c r="C78" s="6"/>
      <c r="E78" s="5"/>
      <c r="F78" s="5"/>
    </row>
    <row r="79">
      <c r="B79" s="6"/>
      <c r="C79" s="6"/>
      <c r="E79" s="5"/>
      <c r="F79" s="5"/>
    </row>
    <row r="80">
      <c r="B80" s="6"/>
      <c r="C80" s="6"/>
      <c r="E80" s="5"/>
      <c r="F80" s="5"/>
    </row>
    <row r="81">
      <c r="B81" s="6"/>
      <c r="C81" s="6"/>
      <c r="E81" s="5"/>
      <c r="F81" s="5"/>
    </row>
    <row r="82">
      <c r="B82" s="6"/>
      <c r="C82" s="6"/>
      <c r="E82" s="5"/>
      <c r="F82" s="5"/>
    </row>
    <row r="83">
      <c r="B83" s="6"/>
      <c r="C83" s="6"/>
      <c r="E83" s="5"/>
      <c r="F83" s="5"/>
    </row>
    <row r="84">
      <c r="B84" s="6"/>
      <c r="C84" s="6"/>
      <c r="E84" s="5"/>
      <c r="F84" s="5"/>
    </row>
    <row r="85">
      <c r="B85" s="6"/>
      <c r="C85" s="6"/>
      <c r="E85" s="5"/>
      <c r="F85" s="5"/>
    </row>
    <row r="86">
      <c r="B86" s="6"/>
      <c r="C86" s="6"/>
      <c r="E86" s="5"/>
      <c r="F86" s="5"/>
    </row>
    <row r="87">
      <c r="B87" s="6"/>
      <c r="C87" s="6"/>
      <c r="E87" s="5"/>
      <c r="F87" s="5"/>
    </row>
    <row r="88">
      <c r="B88" s="6"/>
      <c r="C88" s="6"/>
      <c r="E88" s="5"/>
      <c r="F88" s="5"/>
    </row>
    <row r="89">
      <c r="B89" s="6"/>
      <c r="C89" s="6"/>
      <c r="E89" s="5"/>
      <c r="F89" s="5"/>
    </row>
    <row r="90">
      <c r="B90" s="6"/>
      <c r="C90" s="6"/>
      <c r="E90" s="5"/>
      <c r="F90" s="5"/>
    </row>
    <row r="91">
      <c r="B91" s="6"/>
      <c r="C91" s="6"/>
      <c r="E91" s="5"/>
      <c r="F91" s="5"/>
    </row>
    <row r="92">
      <c r="B92" s="6"/>
      <c r="C92" s="6"/>
      <c r="E92" s="5"/>
      <c r="F92" s="5"/>
    </row>
    <row r="93">
      <c r="B93" s="6"/>
      <c r="C93" s="6"/>
      <c r="E93" s="5"/>
      <c r="F93" s="5"/>
    </row>
    <row r="94">
      <c r="B94" s="6"/>
      <c r="C94" s="6"/>
      <c r="E94" s="5"/>
      <c r="F94" s="5"/>
    </row>
    <row r="95">
      <c r="B95" s="6"/>
      <c r="C95" s="6"/>
      <c r="E95" s="5"/>
      <c r="F95" s="5"/>
    </row>
    <row r="96">
      <c r="B96" s="6"/>
      <c r="C96" s="6"/>
      <c r="E96" s="5"/>
      <c r="F96" s="5"/>
    </row>
    <row r="97">
      <c r="B97" s="6"/>
      <c r="C97" s="6"/>
      <c r="E97" s="5"/>
      <c r="F97" s="5"/>
    </row>
    <row r="98">
      <c r="B98" s="6"/>
      <c r="C98" s="6"/>
      <c r="E98" s="5"/>
      <c r="F98" s="5"/>
    </row>
    <row r="99">
      <c r="B99" s="6"/>
      <c r="C99" s="6"/>
      <c r="E99" s="5"/>
      <c r="F99" s="5"/>
    </row>
    <row r="100">
      <c r="B100" s="6"/>
      <c r="C100" s="6"/>
      <c r="E100" s="5"/>
      <c r="F100" s="5"/>
    </row>
  </sheetData>
  <dataValidations>
    <dataValidation type="list" allowBlank="1" showErrorMessage="1" sqref="C2:C100">
      <formula1>"Electronics,Accessories"</formula1>
    </dataValidation>
    <dataValidation type="list" allowBlank="1" showErrorMessage="1" sqref="B2:B100">
      <formula1>"Laptop,Mouse,Keyboard,Monitor,Headphones"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2</v>
      </c>
      <c r="B3" s="1" t="s">
        <v>5</v>
      </c>
    </row>
    <row r="4">
      <c r="A4" s="2" t="s">
        <v>8</v>
      </c>
      <c r="B4" s="5">
        <f>SUM('Raw Data'!F2:F100)</f>
        <v>249000</v>
      </c>
    </row>
    <row r="6">
      <c r="A6" s="1" t="s">
        <v>13</v>
      </c>
      <c r="D6" s="1" t="s">
        <v>14</v>
      </c>
    </row>
    <row r="7">
      <c r="A7" s="1" t="s">
        <v>1</v>
      </c>
      <c r="B7" s="1" t="s">
        <v>15</v>
      </c>
      <c r="D7" s="1" t="s">
        <v>16</v>
      </c>
      <c r="E7" s="1" t="s">
        <v>17</v>
      </c>
      <c r="F7" s="1" t="s">
        <v>18</v>
      </c>
    </row>
    <row r="8">
      <c r="A8" s="3">
        <v>46030.0</v>
      </c>
      <c r="B8" s="5">
        <f>SUMIFS('Raw Data'!$F$2:$F$100,'Raw Data'!$A$2:$A$100,A8)</f>
        <v>104000</v>
      </c>
      <c r="D8" s="3">
        <v>46030.0</v>
      </c>
      <c r="E8" s="3">
        <v>46211.0</v>
      </c>
      <c r="F8" s="4">
        <f>SUMPRODUCT(('Raw Data'!$A$2:$A$100&gt;=D8)*('Raw Data'!$A$2:$A$100&lt;=E8)*'Raw Data'!$F$2:$F$100)</f>
        <v>208000</v>
      </c>
    </row>
    <row r="9">
      <c r="A9" s="3">
        <v>46061.0</v>
      </c>
      <c r="B9" s="5">
        <f>SUMIFS('Raw Data'!$F$2:$F$100,'Raw Data'!$A$2:$A$100,A9)</f>
        <v>4500</v>
      </c>
      <c r="D9" s="3">
        <v>46242.0</v>
      </c>
      <c r="E9" s="2" t="s">
        <v>22</v>
      </c>
      <c r="F9" s="5">
        <f>SUMPRODUCT(('Raw Data'!$A$2:$A$100&gt;=D9)*('Raw Data'!$A$2:$A$100&lt;=E9)*'Raw Data'!$F$2:$F$100)</f>
        <v>41000</v>
      </c>
    </row>
    <row r="10">
      <c r="A10" s="3">
        <v>46089.0</v>
      </c>
      <c r="B10" s="5">
        <f>SUMIFS('Raw Data'!$F$2:$F$100,'Raw Data'!$A$2:$A$100,A10)</f>
        <v>24000</v>
      </c>
    </row>
    <row r="11">
      <c r="A11" s="3">
        <v>46120.0</v>
      </c>
      <c r="B11" s="5">
        <f>SUMIFS('Raw Data'!$F$2:$F$100,'Raw Data'!$A$2:$A$100,A11)</f>
        <v>10000</v>
      </c>
    </row>
    <row r="12">
      <c r="A12" s="3">
        <v>46150.0</v>
      </c>
      <c r="B12" s="5">
        <f>SUMIFS('Raw Data'!$F$2:$F$100,'Raw Data'!$A$2:$A$100,A12)</f>
        <v>50000</v>
      </c>
      <c r="D12" s="1" t="s">
        <v>23</v>
      </c>
      <c r="E12" s="9"/>
    </row>
    <row r="13">
      <c r="A13" s="3">
        <v>46181.0</v>
      </c>
      <c r="B13" s="5">
        <f>SUMIFS('Raw Data'!$F$2:$F$100,'Raw Data'!$A$2:$A$100,A13)</f>
        <v>8000</v>
      </c>
      <c r="D13" s="1" t="s">
        <v>24</v>
      </c>
      <c r="E13" s="1" t="s">
        <v>25</v>
      </c>
    </row>
    <row r="14">
      <c r="A14" s="3">
        <v>46211.0</v>
      </c>
      <c r="B14" s="5">
        <f>SUMIFS('Raw Data'!$F$2:$F$100,'Raw Data'!$A$2:$A$100,A14)</f>
        <v>7500</v>
      </c>
      <c r="D14" s="10">
        <v>46235.0</v>
      </c>
      <c r="E14" s="5">
        <f>SUM(B8:B17)</f>
        <v>249000</v>
      </c>
    </row>
    <row r="15">
      <c r="A15" s="3">
        <v>46242.0</v>
      </c>
      <c r="B15" s="5">
        <f>SUMIFS('Raw Data'!$F$2:$F$100,'Raw Data'!$A$2:$A$100,A15)</f>
        <v>36000</v>
      </c>
    </row>
    <row r="16">
      <c r="A16" s="3">
        <v>46273.0</v>
      </c>
      <c r="B16" s="5">
        <f>SUMIFS('Raw Data'!$F$2:$F$100,'Raw Data'!$A$2:$A$100,A16)</f>
        <v>5000</v>
      </c>
    </row>
  </sheetData>
  <drawing r:id="rId1"/>
</worksheet>
</file>